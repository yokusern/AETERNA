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Tracker" sheetId="1" state="visible" r:id="rId1"/>
    <sheet name="Habit Tracker" sheetId="2" state="visible" r:id="rId2"/>
    <sheet name="Transaction Log" sheetId="3" state="visible" r:id="rId3"/>
    <sheet name="Savings Go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45A32"/>
      </patternFill>
    </fill>
    <fill>
      <patternFill patternType="solid">
        <fgColor rgb="007B3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6" customWidth="1" min="4" max="4"/>
    <col width="12" customWidth="1" min="5" max="5"/>
  </cols>
  <sheetData>
    <row r="1">
      <c r="A1" s="1" t="inlineStr">
        <is>
          <t>Category</t>
        </is>
      </c>
      <c r="B1" s="1" t="inlineStr">
        <is>
          <t>Budgeted ($)</t>
        </is>
      </c>
      <c r="C1" s="1" t="inlineStr">
        <is>
          <t>Actual ($)</t>
        </is>
      </c>
      <c r="D1" s="1" t="inlineStr">
        <is>
          <t>Difference ($)</t>
        </is>
      </c>
      <c r="E1" s="1" t="inlineStr">
        <is>
          <t>Status</t>
        </is>
      </c>
    </row>
    <row r="2">
      <c r="A2" t="inlineStr">
        <is>
          <t>Housing</t>
        </is>
      </c>
      <c r="B2" t="n">
        <v>1500</v>
      </c>
      <c r="C2" t="n">
        <v>0</v>
      </c>
      <c r="D2">
        <f>B2-C2</f>
        <v/>
      </c>
      <c r="E2">
        <f>IF(D2&gt;=0,"✓ Under","⚠ Over")</f>
        <v/>
      </c>
    </row>
    <row r="3">
      <c r="A3" t="inlineStr">
        <is>
          <t>Food</t>
        </is>
      </c>
      <c r="B3" t="n">
        <v>600</v>
      </c>
      <c r="C3" t="n">
        <v>0</v>
      </c>
      <c r="D3">
        <f>B3-C3</f>
        <v/>
      </c>
      <c r="E3">
        <f>IF(D3&gt;=0,"✓ Under","⚠ Over")</f>
        <v/>
      </c>
    </row>
    <row r="4">
      <c r="A4" t="inlineStr">
        <is>
          <t>Transport</t>
        </is>
      </c>
      <c r="B4" t="n">
        <v>300</v>
      </c>
      <c r="C4" t="n">
        <v>0</v>
      </c>
      <c r="D4">
        <f>B4-C4</f>
        <v/>
      </c>
      <c r="E4">
        <f>IF(D4&gt;=0,"✓ Under","⚠ Over")</f>
        <v/>
      </c>
    </row>
    <row r="5">
      <c r="A5" t="inlineStr">
        <is>
          <t>Utilities</t>
        </is>
      </c>
      <c r="B5" t="n">
        <v>200</v>
      </c>
      <c r="C5" t="n">
        <v>0</v>
      </c>
      <c r="D5">
        <f>B5-C5</f>
        <v/>
      </c>
      <c r="E5">
        <f>IF(D5&gt;=0,"✓ Under","⚠ Over")</f>
        <v/>
      </c>
    </row>
    <row r="6">
      <c r="A6" t="inlineStr">
        <is>
          <t>Entertainment</t>
        </is>
      </c>
      <c r="B6" t="n">
        <v>150</v>
      </c>
      <c r="C6" t="n">
        <v>0</v>
      </c>
      <c r="D6">
        <f>B6-C6</f>
        <v/>
      </c>
      <c r="E6">
        <f>IF(D6&gt;=0,"✓ Under","⚠ Over")</f>
        <v/>
      </c>
    </row>
    <row r="7">
      <c r="A7" t="inlineStr">
        <is>
          <t>Subscriptions</t>
        </is>
      </c>
      <c r="B7" t="n">
        <v>100</v>
      </c>
      <c r="C7" t="n">
        <v>0</v>
      </c>
      <c r="D7">
        <f>B7-C7</f>
        <v/>
      </c>
      <c r="E7">
        <f>IF(D7&gt;=0,"✓ Under","⚠ Over")</f>
        <v/>
      </c>
    </row>
    <row r="8">
      <c r="A8" t="inlineStr">
        <is>
          <t>Health</t>
        </is>
      </c>
      <c r="B8" t="n">
        <v>200</v>
      </c>
      <c r="C8" t="n">
        <v>0</v>
      </c>
      <c r="D8">
        <f>B8-C8</f>
        <v/>
      </c>
      <c r="E8">
        <f>IF(D8&gt;=0,"✓ Under","⚠ Over")</f>
        <v/>
      </c>
    </row>
    <row r="9">
      <c r="A9" t="inlineStr">
        <is>
          <t>Savings</t>
        </is>
      </c>
      <c r="B9" t="n">
        <v>500</v>
      </c>
      <c r="C9" t="n">
        <v>0</v>
      </c>
      <c r="D9">
        <f>B9-C9</f>
        <v/>
      </c>
      <c r="E9">
        <f>IF(D9&gt;=0,"✓ Under","⚠ Over")</f>
        <v/>
      </c>
    </row>
    <row r="10">
      <c r="A10" t="inlineStr">
        <is>
          <t>Emergency Fund</t>
        </is>
      </c>
      <c r="B10" t="n">
        <v>200</v>
      </c>
      <c r="C10" t="n">
        <v>0</v>
      </c>
      <c r="D10">
        <f>B10-C10</f>
        <v/>
      </c>
      <c r="E10">
        <f>IF(D10&gt;=0,"✓ Under","⚠ Over")</f>
        <v/>
      </c>
    </row>
    <row r="11">
      <c r="A11" t="inlineStr">
        <is>
          <t>Misc</t>
        </is>
      </c>
      <c r="B11" t="n">
        <v>150</v>
      </c>
      <c r="C11" t="n">
        <v>0</v>
      </c>
      <c r="D11">
        <f>B11-C11</f>
        <v/>
      </c>
      <c r="E11">
        <f>IF(D11&gt;=0,"✓ Under","⚠ Over")</f>
        <v/>
      </c>
    </row>
    <row r="12">
      <c r="A12" s="2" t="inlineStr">
        <is>
          <t>TOTAL</t>
        </is>
      </c>
      <c r="B12" s="2">
        <f>SUM(B2:B11)</f>
        <v/>
      </c>
      <c r="C12" s="2">
        <f>SUM(C2:C11)</f>
        <v/>
      </c>
      <c r="D12" s="2">
        <f>SUM(D2:D11)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2" customWidth="1" min="9" max="9"/>
    <col width="10" customWidth="1" min="10" max="10"/>
  </cols>
  <sheetData>
    <row r="1">
      <c r="A1" s="2" t="inlineStr">
        <is>
          <t>Habit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  <c r="G1" s="2" t="inlineStr">
        <is>
          <t>Sat</t>
        </is>
      </c>
      <c r="H1" s="2" t="inlineStr">
        <is>
          <t>Sun</t>
        </is>
      </c>
      <c r="I1" s="2" t="inlineStr">
        <is>
          <t>Week Total</t>
        </is>
      </c>
      <c r="J1" s="2" t="inlineStr">
        <is>
          <t>Month %</t>
        </is>
      </c>
    </row>
    <row r="2">
      <c r="A2" t="inlineStr">
        <is>
          <t>Morning workout</t>
        </is>
      </c>
      <c r="B2" t="inlineStr"/>
      <c r="C2" t="inlineStr"/>
      <c r="D2" t="inlineStr"/>
      <c r="E2" t="inlineStr"/>
      <c r="F2" t="inlineStr"/>
      <c r="G2" t="inlineStr"/>
      <c r="H2" t="inlineStr"/>
      <c r="I2">
        <f>COUNTIF(B2:H2,"✓")</f>
        <v/>
      </c>
      <c r="J2">
        <f>G2/7*100</f>
        <v/>
      </c>
    </row>
    <row r="3">
      <c r="A3" t="inlineStr">
        <is>
          <t>Read 30 min</t>
        </is>
      </c>
      <c r="B3" t="inlineStr"/>
      <c r="C3" t="inlineStr"/>
      <c r="D3" t="inlineStr"/>
      <c r="E3" t="inlineStr"/>
      <c r="F3" t="inlineStr"/>
      <c r="G3" t="inlineStr"/>
      <c r="H3" t="inlineStr"/>
      <c r="I3">
        <f>COUNTIF(B3:H3,"✓")</f>
        <v/>
      </c>
      <c r="J3">
        <f>G3/7*100</f>
        <v/>
      </c>
    </row>
    <row r="4">
      <c r="A4" t="inlineStr">
        <is>
          <t>Meditate</t>
        </is>
      </c>
      <c r="B4" t="inlineStr"/>
      <c r="C4" t="inlineStr"/>
      <c r="D4" t="inlineStr"/>
      <c r="E4" t="inlineStr"/>
      <c r="F4" t="inlineStr"/>
      <c r="G4" t="inlineStr"/>
      <c r="H4" t="inlineStr"/>
      <c r="I4">
        <f>COUNTIF(B4:H4,"✓")</f>
        <v/>
      </c>
      <c r="J4">
        <f>G4/7*100</f>
        <v/>
      </c>
    </row>
    <row r="5">
      <c r="A5" t="inlineStr">
        <is>
          <t>No junk food</t>
        </is>
      </c>
      <c r="B5" t="inlineStr"/>
      <c r="C5" t="inlineStr"/>
      <c r="D5" t="inlineStr"/>
      <c r="E5" t="inlineStr"/>
      <c r="F5" t="inlineStr"/>
      <c r="G5" t="inlineStr"/>
      <c r="H5" t="inlineStr"/>
      <c r="I5">
        <f>COUNTIF(B5:H5,"✓")</f>
        <v/>
      </c>
      <c r="J5">
        <f>G5/7*100</f>
        <v/>
      </c>
    </row>
    <row r="6">
      <c r="A6" t="inlineStr">
        <is>
          <t>8 glasses water</t>
        </is>
      </c>
      <c r="B6" t="inlineStr"/>
      <c r="C6" t="inlineStr"/>
      <c r="D6" t="inlineStr"/>
      <c r="E6" t="inlineStr"/>
      <c r="F6" t="inlineStr"/>
      <c r="G6" t="inlineStr"/>
      <c r="H6" t="inlineStr"/>
      <c r="I6">
        <f>COUNTIF(B6:H6,"✓")</f>
        <v/>
      </c>
      <c r="J6">
        <f>G6/7*100</f>
        <v/>
      </c>
    </row>
    <row r="7">
      <c r="A7" t="inlineStr">
        <is>
          <t>Journal</t>
        </is>
      </c>
      <c r="B7" t="inlineStr"/>
      <c r="C7" t="inlineStr"/>
      <c r="D7" t="inlineStr"/>
      <c r="E7" t="inlineStr"/>
      <c r="F7" t="inlineStr"/>
      <c r="G7" t="inlineStr"/>
      <c r="H7" t="inlineStr"/>
      <c r="I7">
        <f>COUNTIF(B7:H7,"✓")</f>
        <v/>
      </c>
      <c r="J7">
        <f>G7/7*100</f>
        <v/>
      </c>
    </row>
    <row r="8">
      <c r="A8" t="inlineStr">
        <is>
          <t>Study/Learn</t>
        </is>
      </c>
      <c r="B8" t="inlineStr"/>
      <c r="C8" t="inlineStr"/>
      <c r="D8" t="inlineStr"/>
      <c r="E8" t="inlineStr"/>
      <c r="F8" t="inlineStr"/>
      <c r="G8" t="inlineStr"/>
      <c r="H8" t="inlineStr"/>
      <c r="I8">
        <f>COUNTIF(B8:H8,"✓")</f>
        <v/>
      </c>
      <c r="J8">
        <f>G8/7*100</f>
        <v/>
      </c>
    </row>
    <row r="9">
      <c r="A9" t="inlineStr">
        <is>
          <t>No phone before bed</t>
        </is>
      </c>
      <c r="B9" t="inlineStr"/>
      <c r="C9" t="inlineStr"/>
      <c r="D9" t="inlineStr"/>
      <c r="E9" t="inlineStr"/>
      <c r="F9" t="inlineStr"/>
      <c r="G9" t="inlineStr"/>
      <c r="H9" t="inlineStr"/>
      <c r="I9">
        <f>COUNTIF(B9:H9,"✓")</f>
        <v/>
      </c>
      <c r="J9">
        <f>G9/7*100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4" customWidth="1" min="4" max="4"/>
    <col width="10" customWidth="1" min="5" max="5"/>
  </cols>
  <sheetData>
    <row r="1">
      <c r="A1" s="3" t="inlineStr">
        <is>
          <t>Date</t>
        </is>
      </c>
      <c r="B1" s="3" t="inlineStr">
        <is>
          <t>Description</t>
        </is>
      </c>
      <c r="C1" s="3" t="inlineStr">
        <is>
          <t>Category</t>
        </is>
      </c>
      <c r="D1" s="3" t="inlineStr">
        <is>
          <t>Amount ($)</t>
        </is>
      </c>
      <c r="E1" s="3" t="inlineStr">
        <is>
          <t>Type</t>
        </is>
      </c>
    </row>
    <row r="2">
      <c r="A2" t="inlineStr">
        <is>
          <t>2026-05-01</t>
        </is>
      </c>
      <c r="B2" t="inlineStr">
        <is>
          <t>Salary</t>
        </is>
      </c>
      <c r="C2" t="inlineStr">
        <is>
          <t>Income</t>
        </is>
      </c>
      <c r="D2" t="n">
        <v>3500</v>
      </c>
      <c r="E2" t="inlineStr">
        <is>
          <t>Income</t>
        </is>
      </c>
    </row>
    <row r="3">
      <c r="A3" t="inlineStr">
        <is>
          <t>2026-05-03</t>
        </is>
      </c>
      <c r="B3" t="inlineStr">
        <is>
          <t>Rent</t>
        </is>
      </c>
      <c r="C3" t="inlineStr">
        <is>
          <t>Housing</t>
        </is>
      </c>
      <c r="D3" t="n">
        <v>-1500</v>
      </c>
      <c r="E3" t="inlineStr">
        <is>
          <t>Expense</t>
        </is>
      </c>
    </row>
    <row r="4">
      <c r="A4" t="inlineStr">
        <is>
          <t>2026-05-05</t>
        </is>
      </c>
      <c r="B4" t="inlineStr">
        <is>
          <t>Groceries</t>
        </is>
      </c>
      <c r="C4" t="inlineStr">
        <is>
          <t>Food</t>
        </is>
      </c>
      <c r="D4" t="n">
        <v>-120</v>
      </c>
      <c r="E4" t="inlineStr">
        <is>
          <t>Expense</t>
        </is>
      </c>
    </row>
    <row r="5">
      <c r="A5" t="inlineStr">
        <is>
          <t>2026-05-07</t>
        </is>
      </c>
      <c r="B5" t="inlineStr">
        <is>
          <t>Freelance payment</t>
        </is>
      </c>
      <c r="C5" t="inlineStr">
        <is>
          <t>Income</t>
        </is>
      </c>
      <c r="D5" t="n">
        <v>800</v>
      </c>
      <c r="E5" t="inlineStr">
        <is>
          <t>Income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4" t="inlineStr">
        <is>
          <t>Goal</t>
        </is>
      </c>
      <c r="B1" s="4" t="inlineStr">
        <is>
          <t>Target ($)</t>
        </is>
      </c>
      <c r="C1" s="4" t="inlineStr">
        <is>
          <t>Saved ($)</t>
        </is>
      </c>
      <c r="D1" s="4" t="inlineStr">
        <is>
          <t>Remaining</t>
        </is>
      </c>
      <c r="E1" s="4" t="inlineStr">
        <is>
          <t>Progress %</t>
        </is>
      </c>
    </row>
    <row r="2">
      <c r="A2" t="inlineStr">
        <is>
          <t>Emergency Fund</t>
        </is>
      </c>
      <c r="B2" t="n">
        <v>5000</v>
      </c>
      <c r="C2" t="n">
        <v>1200</v>
      </c>
      <c r="D2">
        <f>B2-C2</f>
        <v/>
      </c>
      <c r="E2">
        <f>ROUND(C2/B2*100,1)</f>
        <v/>
      </c>
    </row>
    <row r="3">
      <c r="A3" t="inlineStr">
        <is>
          <t>Vacation</t>
        </is>
      </c>
      <c r="B3" t="n">
        <v>3000</v>
      </c>
      <c r="C3" t="n">
        <v>500</v>
      </c>
      <c r="D3">
        <f>B3-C3</f>
        <v/>
      </c>
      <c r="E3">
        <f>ROUND(C3/B3*100,1)</f>
        <v/>
      </c>
    </row>
    <row r="4">
      <c r="A4" t="inlineStr">
        <is>
          <t>New laptop</t>
        </is>
      </c>
      <c r="B4" t="n">
        <v>1500</v>
      </c>
      <c r="C4" t="n">
        <v>800</v>
      </c>
      <c r="D4">
        <f>B4-C4</f>
        <v/>
      </c>
      <c r="E4">
        <f>ROUND(C4/B4*100,1)</f>
        <v/>
      </c>
    </row>
    <row r="5">
      <c r="A5" t="inlineStr">
        <is>
          <t>Investment</t>
        </is>
      </c>
      <c r="B5" t="n">
        <v>10000</v>
      </c>
      <c r="C5" t="n">
        <v>2000</v>
      </c>
      <c r="D5">
        <f>B5-C5</f>
        <v/>
      </c>
      <c r="E5">
        <f>ROUND(C5/B5*100,1)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2026-06-06T02:54:30Z</dcterms:created>
  <dcterms:modified xsi:type="dcterms:W3CDTF">2026-06-06T02:54:30Z</dcterms:modified>
</cp:coreProperties>
</file>